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ulo\Dropbox\Documentos\Paulo\UFABC\TG_III\tabelas_graficos\"/>
    </mc:Choice>
  </mc:AlternateContent>
  <xr:revisionPtr revIDLastSave="0" documentId="13_ncr:1_{5DF77CAE-6159-48C9-91B3-A3A9F19046E4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</calcChain>
</file>

<file path=xl/sharedStrings.xml><?xml version="1.0" encoding="utf-8"?>
<sst xmlns="http://schemas.openxmlformats.org/spreadsheetml/2006/main" count="122" uniqueCount="55">
  <si>
    <t>Média de tempo</t>
  </si>
  <si>
    <t>Mediana de tempo</t>
  </si>
  <si>
    <t>Valor mínimo</t>
  </si>
  <si>
    <t>Valor máximo</t>
  </si>
  <si>
    <t>Desvio padrão</t>
  </si>
  <si>
    <t>Pacotes</t>
  </si>
  <si>
    <t>Transmitidos</t>
  </si>
  <si>
    <t>Recebidos</t>
  </si>
  <si>
    <t>Intervalo entre Pacotes</t>
  </si>
  <si>
    <t>Marrom</t>
  </si>
  <si>
    <t>Vermelho</t>
  </si>
  <si>
    <t>Laranja</t>
  </si>
  <si>
    <t>Amarelo</t>
  </si>
  <si>
    <t>-----</t>
  </si>
  <si>
    <t>Resistência entre os Fios (Ω)</t>
  </si>
  <si>
    <t>------</t>
  </si>
  <si>
    <t>-------</t>
  </si>
  <si>
    <t>∞</t>
  </si>
  <si>
    <t>Strain Gauge</t>
  </si>
  <si>
    <r>
      <t xml:space="preserve">Média dos valores lidos dos </t>
    </r>
    <r>
      <rPr>
        <b/>
        <i/>
        <sz val="10"/>
        <color theme="1"/>
        <rFont val="Times New Roman"/>
        <family val="1"/>
      </rPr>
      <t>strain gauges</t>
    </r>
  </si>
  <si>
    <t>Vazia (1)</t>
  </si>
  <si>
    <t>Pessoa 85 Kg (2)</t>
  </si>
  <si>
    <t>Pessoa 85 Kg + Massa entre SG1 e SG4 (3)</t>
  </si>
  <si>
    <t>Pessoa 85 Kg + Massa entre SG2 e SG3 (4)</t>
  </si>
  <si>
    <t>SG1</t>
  </si>
  <si>
    <t>SG2</t>
  </si>
  <si>
    <t>SG3</t>
  </si>
  <si>
    <t>SG4</t>
  </si>
  <si>
    <t>Ponto de Medição</t>
  </si>
  <si>
    <t>Referência</t>
  </si>
  <si>
    <t>Valor Medido (V)</t>
  </si>
  <si>
    <t>V-</t>
  </si>
  <si>
    <t>Saída do regulador LM7805</t>
  </si>
  <si>
    <t>GND</t>
  </si>
  <si>
    <t>V+</t>
  </si>
  <si>
    <r>
      <t>EXC+ (excitação</t>
    </r>
    <r>
      <rPr>
        <i/>
        <sz val="10"/>
        <color theme="1"/>
        <rFont val="Times New Roman"/>
        <family val="1"/>
      </rPr>
      <t xml:space="preserve"> strain gauges</t>
    </r>
    <r>
      <rPr>
        <sz val="10"/>
        <color theme="1"/>
        <rFont val="Times New Roman"/>
        <family val="1"/>
      </rPr>
      <t>)</t>
    </r>
  </si>
  <si>
    <r>
      <t>EXC- (excitação</t>
    </r>
    <r>
      <rPr>
        <i/>
        <sz val="10"/>
        <color theme="1"/>
        <rFont val="Times New Roman"/>
        <family val="1"/>
      </rPr>
      <t xml:space="preserve"> strain gauges</t>
    </r>
    <r>
      <rPr>
        <sz val="10"/>
        <color theme="1"/>
        <rFont val="Times New Roman"/>
        <family val="1"/>
      </rPr>
      <t>)</t>
    </r>
  </si>
  <si>
    <r>
      <t>Pino V</t>
    </r>
    <r>
      <rPr>
        <vertAlign val="subscript"/>
        <sz val="10"/>
        <color rgb="FF000000"/>
        <rFont val="Times New Roman"/>
        <family val="1"/>
      </rPr>
      <t>IN</t>
    </r>
    <r>
      <rPr>
        <sz val="10"/>
        <color rgb="FF000000"/>
        <rFont val="Times New Roman"/>
        <family val="1"/>
      </rPr>
      <t xml:space="preserve"> do ESP32</t>
    </r>
  </si>
  <si>
    <t>Pino 3V3 do ESP32</t>
  </si>
  <si>
    <t>Associação de pilhas</t>
  </si>
  <si>
    <t>Condição</t>
  </si>
  <si>
    <t>Valor Medido (mA)</t>
  </si>
  <si>
    <t>Saída do terra virtual (pino 1 de U2)</t>
  </si>
  <si>
    <r>
      <t xml:space="preserve">nRF24L01 em </t>
    </r>
    <r>
      <rPr>
        <i/>
        <sz val="10"/>
        <color theme="1"/>
        <rFont val="Times New Roman"/>
        <family val="1"/>
      </rPr>
      <t>standby</t>
    </r>
  </si>
  <si>
    <t>Multiplex diferencial com entradas aterradas</t>
  </si>
  <si>
    <t>nRF24L01 em transmissão contínua</t>
  </si>
  <si>
    <t>nRF24L01 em recepção contínua</t>
  </si>
  <si>
    <r>
      <t>Saída EXC+ (excitação</t>
    </r>
    <r>
      <rPr>
        <i/>
        <sz val="10"/>
        <color theme="1"/>
        <rFont val="Times New Roman"/>
        <family val="1"/>
      </rPr>
      <t xml:space="preserve"> strain gauges</t>
    </r>
    <r>
      <rPr>
        <sz val="10"/>
        <color theme="1"/>
        <rFont val="Times New Roman"/>
        <family val="1"/>
      </rPr>
      <t>)</t>
    </r>
  </si>
  <si>
    <r>
      <t>Carga de 30</t>
    </r>
    <r>
      <rPr>
        <sz val="10"/>
        <color theme="1"/>
        <rFont val="Aptos Narrow"/>
        <family val="2"/>
      </rPr>
      <t>Ω</t>
    </r>
    <r>
      <rPr>
        <sz val="10"/>
        <color theme="1"/>
        <rFont val="Times New Roman"/>
        <family val="1"/>
      </rPr>
      <t xml:space="preserve"> ligada entre EXC+ e EXC-</t>
    </r>
  </si>
  <si>
    <t>Entre SG1 e SG2</t>
  </si>
  <si>
    <t>Entre SG2 e SG3</t>
  </si>
  <si>
    <t>Entre SG3 e SG4</t>
  </si>
  <si>
    <t>Entre SG4 e SG1</t>
  </si>
  <si>
    <t>Valores medidos em mV (aproximados)</t>
  </si>
  <si>
    <t>Posição da massa de 5Kg + grampo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</si>
</sst>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quotePrefix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quotePrefix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3" fontId="1" fillId="2" borderId="0" xfId="0" applyNumberFormat="1" applyFont="1" applyFill="1" applyAlignment="1">
      <alignment horizontal="center" vertical="center"/>
    </xf>
    <xf numFmtId="0" fontId="1" fillId="2" borderId="9" xfId="0" quotePrefix="1" applyFont="1" applyFill="1" applyBorder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/>
    </xf>
    <xf numFmtId="1" fontId="9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abSelected="1" topLeftCell="E35" zoomScale="120" zoomScaleNormal="120" workbookViewId="0">
      <selection activeCell="H39" sqref="H39:L45"/>
    </sheetView>
  </sheetViews>
  <sheetFormatPr defaultColWidth="8.58203125" defaultRowHeight="12.65" x14ac:dyDescent="0.3"/>
  <cols>
    <col min="1" max="1" width="15.58203125" style="1" customWidth="1"/>
    <col min="2" max="2" width="10.58203125" style="2" customWidth="1"/>
    <col min="3" max="3" width="10.58203125" style="1" customWidth="1"/>
    <col min="4" max="4" width="29.5" style="1" bestFit="1" customWidth="1"/>
    <col min="5" max="5" width="33.5" style="1" bestFit="1" customWidth="1"/>
    <col min="6" max="7" width="18.58203125" style="1" customWidth="1"/>
    <col min="8" max="8" width="21.75" style="1" customWidth="1"/>
    <col min="9" max="17" width="10.58203125" style="1" customWidth="1"/>
    <col min="18" max="25" width="7.58203125" style="1" customWidth="1"/>
    <col min="26" max="16384" width="8.58203125" style="1"/>
  </cols>
  <sheetData>
    <row r="1" spans="1:25" s="3" customFormat="1" ht="18" customHeight="1" x14ac:dyDescent="0.4">
      <c r="A1" s="4"/>
      <c r="B1" s="44" t="s">
        <v>5</v>
      </c>
      <c r="C1" s="52"/>
      <c r="D1" s="52"/>
      <c r="E1" s="44" t="s">
        <v>5</v>
      </c>
      <c r="F1" s="52"/>
      <c r="G1" s="52"/>
      <c r="I1" s="50" t="s">
        <v>14</v>
      </c>
      <c r="J1" s="51"/>
      <c r="K1" s="51"/>
      <c r="L1" s="51"/>
      <c r="M1" s="51"/>
      <c r="N1" s="51"/>
      <c r="O1" s="51"/>
      <c r="P1" s="51"/>
      <c r="Q1" s="51"/>
      <c r="R1" s="20"/>
      <c r="S1" s="20"/>
      <c r="T1" s="20"/>
      <c r="U1" s="20"/>
      <c r="V1" s="20"/>
      <c r="W1" s="20"/>
      <c r="X1" s="20"/>
      <c r="Y1" s="20"/>
    </row>
    <row r="2" spans="1:25" s="3" customFormat="1" ht="18" customHeight="1" x14ac:dyDescent="0.4">
      <c r="A2" s="5"/>
      <c r="B2" s="42" t="s">
        <v>6</v>
      </c>
      <c r="C2" s="43"/>
      <c r="D2" s="43"/>
      <c r="E2" s="42" t="s">
        <v>7</v>
      </c>
      <c r="F2" s="43"/>
      <c r="G2" s="43"/>
      <c r="I2" s="18"/>
      <c r="J2" s="45" t="s">
        <v>24</v>
      </c>
      <c r="K2" s="46"/>
      <c r="L2" s="46"/>
      <c r="M2" s="46"/>
      <c r="N2" s="45" t="s">
        <v>25</v>
      </c>
      <c r="O2" s="46"/>
      <c r="P2" s="46"/>
      <c r="Q2" s="47"/>
    </row>
    <row r="3" spans="1:25" s="3" customFormat="1" ht="18" customHeight="1" x14ac:dyDescent="0.4">
      <c r="A3" s="6"/>
      <c r="B3" s="7">
        <v>10000</v>
      </c>
      <c r="C3" s="7">
        <v>100000</v>
      </c>
      <c r="D3" s="7">
        <v>1000000</v>
      </c>
      <c r="E3" s="7">
        <v>10000</v>
      </c>
      <c r="F3" s="7">
        <v>100000</v>
      </c>
      <c r="G3" s="7">
        <v>1000000</v>
      </c>
      <c r="I3" s="19"/>
      <c r="J3" s="13" t="s">
        <v>9</v>
      </c>
      <c r="K3" s="6" t="s">
        <v>10</v>
      </c>
      <c r="L3" s="6" t="s">
        <v>11</v>
      </c>
      <c r="M3" s="14" t="s">
        <v>12</v>
      </c>
      <c r="N3" s="13" t="s">
        <v>9</v>
      </c>
      <c r="O3" s="6" t="s">
        <v>10</v>
      </c>
      <c r="P3" s="6" t="s">
        <v>11</v>
      </c>
      <c r="Q3" s="6" t="s">
        <v>12</v>
      </c>
    </row>
    <row r="4" spans="1:25" s="3" customFormat="1" ht="18" customHeight="1" x14ac:dyDescent="0.4">
      <c r="A4" s="5" t="s">
        <v>0</v>
      </c>
      <c r="B4" s="8">
        <v>81</v>
      </c>
      <c r="C4" s="8">
        <v>81.404700000000005</v>
      </c>
      <c r="D4" s="8">
        <v>81.599999999999994</v>
      </c>
      <c r="E4" s="8">
        <v>79.712000000000003</v>
      </c>
      <c r="F4" s="8">
        <v>79.722999999999999</v>
      </c>
      <c r="G4" s="8">
        <v>79.712000000000003</v>
      </c>
      <c r="I4" s="5" t="s">
        <v>9</v>
      </c>
      <c r="J4" s="15" t="s">
        <v>13</v>
      </c>
      <c r="K4" s="4">
        <v>120.2</v>
      </c>
      <c r="L4" s="5">
        <v>90.4</v>
      </c>
      <c r="M4" s="16">
        <v>90.4</v>
      </c>
      <c r="N4" s="15" t="s">
        <v>13</v>
      </c>
      <c r="O4" s="5">
        <v>121</v>
      </c>
      <c r="P4" s="5">
        <v>90.6</v>
      </c>
      <c r="Q4" s="5">
        <v>91</v>
      </c>
    </row>
    <row r="5" spans="1:25" s="3" customFormat="1" ht="18" customHeight="1" x14ac:dyDescent="0.4">
      <c r="A5" s="5" t="s">
        <v>1</v>
      </c>
      <c r="B5" s="8">
        <v>81</v>
      </c>
      <c r="C5" s="8">
        <v>81</v>
      </c>
      <c r="D5" s="8">
        <v>81.099999999999994</v>
      </c>
      <c r="E5" s="8">
        <v>79</v>
      </c>
      <c r="F5" s="8">
        <v>79.099999999999994</v>
      </c>
      <c r="G5" s="8">
        <v>79</v>
      </c>
      <c r="I5" s="5" t="s">
        <v>10</v>
      </c>
      <c r="J5" s="15" t="s">
        <v>15</v>
      </c>
      <c r="K5" s="11" t="s">
        <v>13</v>
      </c>
      <c r="L5" s="5">
        <v>90.4</v>
      </c>
      <c r="M5" s="16">
        <v>90.4</v>
      </c>
      <c r="N5" s="15" t="s">
        <v>15</v>
      </c>
      <c r="O5" s="11" t="s">
        <v>13</v>
      </c>
      <c r="P5" s="5">
        <v>90.6</v>
      </c>
      <c r="Q5" s="5">
        <v>91.2</v>
      </c>
    </row>
    <row r="6" spans="1:25" s="3" customFormat="1" ht="18" customHeight="1" x14ac:dyDescent="0.4">
      <c r="A6" s="5" t="s">
        <v>2</v>
      </c>
      <c r="B6" s="8">
        <v>81</v>
      </c>
      <c r="C6" s="8">
        <v>81</v>
      </c>
      <c r="D6" s="8">
        <v>81</v>
      </c>
      <c r="E6" s="8">
        <v>79</v>
      </c>
      <c r="F6" s="8">
        <v>79</v>
      </c>
      <c r="G6" s="8">
        <v>80</v>
      </c>
      <c r="I6" s="5" t="s">
        <v>11</v>
      </c>
      <c r="J6" s="15" t="s">
        <v>16</v>
      </c>
      <c r="K6" s="12" t="s">
        <v>16</v>
      </c>
      <c r="L6" s="11" t="s">
        <v>13</v>
      </c>
      <c r="M6" s="5">
        <v>120.2</v>
      </c>
      <c r="N6" s="22" t="s">
        <v>15</v>
      </c>
      <c r="O6" s="12" t="s">
        <v>15</v>
      </c>
      <c r="P6" s="11" t="s">
        <v>13</v>
      </c>
      <c r="Q6" s="5">
        <v>120</v>
      </c>
    </row>
    <row r="7" spans="1:25" s="3" customFormat="1" ht="18" customHeight="1" x14ac:dyDescent="0.4">
      <c r="A7" s="5" t="s">
        <v>3</v>
      </c>
      <c r="B7" s="8">
        <v>81</v>
      </c>
      <c r="C7" s="8">
        <v>82</v>
      </c>
      <c r="D7" s="8">
        <v>83</v>
      </c>
      <c r="E7" s="8">
        <v>82</v>
      </c>
      <c r="F7" s="8">
        <v>82</v>
      </c>
      <c r="G7" s="8">
        <v>83</v>
      </c>
      <c r="I7" s="18"/>
      <c r="J7" s="45" t="s">
        <v>26</v>
      </c>
      <c r="K7" s="48"/>
      <c r="L7" s="46"/>
      <c r="M7" s="46"/>
      <c r="N7" s="49" t="s">
        <v>27</v>
      </c>
      <c r="O7" s="46"/>
      <c r="P7" s="46"/>
      <c r="Q7" s="47"/>
    </row>
    <row r="8" spans="1:25" s="3" customFormat="1" ht="18" customHeight="1" x14ac:dyDescent="0.4">
      <c r="A8" s="9" t="s">
        <v>4</v>
      </c>
      <c r="B8" s="10">
        <v>0</v>
      </c>
      <c r="C8" s="10">
        <v>0.49085843600820511</v>
      </c>
      <c r="D8" s="10">
        <v>0.53</v>
      </c>
      <c r="E8" s="10">
        <v>1.059890719288429</v>
      </c>
      <c r="F8" s="10">
        <v>1.059890719288429</v>
      </c>
      <c r="G8" s="10">
        <v>1.06889071928843</v>
      </c>
      <c r="I8" s="19"/>
      <c r="J8" s="13" t="s">
        <v>9</v>
      </c>
      <c r="K8" s="6" t="s">
        <v>10</v>
      </c>
      <c r="L8" s="6" t="s">
        <v>11</v>
      </c>
      <c r="M8" s="14" t="s">
        <v>12</v>
      </c>
      <c r="N8" s="6" t="s">
        <v>9</v>
      </c>
      <c r="O8" s="6" t="s">
        <v>10</v>
      </c>
      <c r="P8" s="6" t="s">
        <v>11</v>
      </c>
      <c r="Q8" s="6" t="s">
        <v>12</v>
      </c>
    </row>
    <row r="9" spans="1:25" ht="18" customHeight="1" x14ac:dyDescent="0.3">
      <c r="I9" s="5" t="s">
        <v>9</v>
      </c>
      <c r="J9" s="17" t="s">
        <v>13</v>
      </c>
      <c r="K9" s="4">
        <v>120.2</v>
      </c>
      <c r="L9" s="4">
        <v>90.4</v>
      </c>
      <c r="M9" s="18">
        <v>90.4</v>
      </c>
      <c r="N9" s="11" t="s">
        <v>15</v>
      </c>
      <c r="O9" s="5">
        <v>120.4</v>
      </c>
      <c r="P9" s="5">
        <v>120.4</v>
      </c>
      <c r="Q9" s="5">
        <v>120.4</v>
      </c>
      <c r="R9" s="3"/>
      <c r="S9" s="3"/>
      <c r="T9" s="3"/>
      <c r="U9" s="3"/>
      <c r="V9" s="3"/>
      <c r="W9" s="3"/>
      <c r="X9" s="3"/>
      <c r="Y9" s="3"/>
    </row>
    <row r="10" spans="1:25" ht="18" customHeight="1" x14ac:dyDescent="0.3">
      <c r="I10" s="5" t="s">
        <v>10</v>
      </c>
      <c r="J10" s="15" t="s">
        <v>13</v>
      </c>
      <c r="K10" s="11" t="s">
        <v>13</v>
      </c>
      <c r="L10" s="5">
        <v>90.4</v>
      </c>
      <c r="M10" s="16">
        <v>90.4</v>
      </c>
      <c r="N10" s="11" t="s">
        <v>15</v>
      </c>
      <c r="O10" s="11" t="s">
        <v>13</v>
      </c>
      <c r="P10" s="23" t="s">
        <v>17</v>
      </c>
      <c r="Q10" s="23" t="s">
        <v>17</v>
      </c>
    </row>
    <row r="11" spans="1:25" ht="18" customHeight="1" x14ac:dyDescent="0.3">
      <c r="A11" s="4"/>
      <c r="B11" s="44" t="s">
        <v>8</v>
      </c>
      <c r="C11" s="44"/>
      <c r="D11" s="44"/>
      <c r="E11" s="44" t="s">
        <v>8</v>
      </c>
      <c r="F11" s="44"/>
      <c r="G11" s="44"/>
      <c r="I11" s="9" t="s">
        <v>11</v>
      </c>
      <c r="J11" s="22" t="s">
        <v>13</v>
      </c>
      <c r="K11" s="12" t="s">
        <v>13</v>
      </c>
      <c r="L11" s="12" t="s">
        <v>13</v>
      </c>
      <c r="M11" s="19">
        <v>120.2</v>
      </c>
      <c r="N11" s="12" t="s">
        <v>15</v>
      </c>
      <c r="O11" s="12" t="s">
        <v>13</v>
      </c>
      <c r="P11" s="12" t="s">
        <v>13</v>
      </c>
      <c r="Q11" s="9">
        <v>239.4</v>
      </c>
    </row>
    <row r="12" spans="1:25" ht="18" customHeight="1" x14ac:dyDescent="0.3">
      <c r="A12" s="5"/>
      <c r="B12" s="42" t="s">
        <v>6</v>
      </c>
      <c r="C12" s="43"/>
      <c r="D12" s="43"/>
      <c r="E12" s="42" t="s">
        <v>7</v>
      </c>
      <c r="F12" s="43"/>
      <c r="G12" s="43"/>
    </row>
    <row r="13" spans="1:25" ht="18" customHeight="1" x14ac:dyDescent="0.3">
      <c r="A13" s="6"/>
      <c r="B13" s="7">
        <v>10000</v>
      </c>
      <c r="C13" s="7">
        <v>100000</v>
      </c>
      <c r="D13" s="7">
        <v>1000000</v>
      </c>
      <c r="E13" s="7">
        <v>10000</v>
      </c>
      <c r="F13" s="7">
        <v>100000</v>
      </c>
      <c r="G13" s="7">
        <v>1000000</v>
      </c>
    </row>
    <row r="14" spans="1:25" ht="18" customHeight="1" x14ac:dyDescent="0.3">
      <c r="A14" s="5" t="s">
        <v>0</v>
      </c>
      <c r="B14" s="8">
        <v>999.99959999999999</v>
      </c>
      <c r="C14" s="8">
        <v>999.99980000000005</v>
      </c>
      <c r="D14" s="8">
        <v>999.99980000000005</v>
      </c>
      <c r="E14" s="8">
        <v>999.99959999999999</v>
      </c>
      <c r="F14" s="8">
        <v>999.99980000000005</v>
      </c>
      <c r="G14" s="8">
        <v>999.99980000000005</v>
      </c>
    </row>
    <row r="15" spans="1:25" ht="18" customHeight="1" x14ac:dyDescent="0.3">
      <c r="A15" s="5" t="s">
        <v>1</v>
      </c>
      <c r="B15" s="8">
        <v>1000</v>
      </c>
      <c r="C15" s="8">
        <v>1000</v>
      </c>
      <c r="D15" s="8">
        <v>1000</v>
      </c>
      <c r="E15" s="8">
        <v>1000</v>
      </c>
      <c r="F15" s="8">
        <v>1000</v>
      </c>
      <c r="G15" s="8">
        <v>1000</v>
      </c>
    </row>
    <row r="16" spans="1:25" ht="18" customHeight="1" x14ac:dyDescent="0.3">
      <c r="A16" s="5" t="s">
        <v>2</v>
      </c>
      <c r="B16" s="8">
        <v>995</v>
      </c>
      <c r="C16" s="8">
        <v>998</v>
      </c>
      <c r="D16" s="8">
        <v>999</v>
      </c>
      <c r="E16" s="8">
        <v>995</v>
      </c>
      <c r="F16" s="8">
        <v>998</v>
      </c>
      <c r="G16" s="8">
        <v>999</v>
      </c>
    </row>
    <row r="17" spans="1:8" ht="18" customHeight="1" x14ac:dyDescent="0.3">
      <c r="A17" s="5" t="s">
        <v>3</v>
      </c>
      <c r="B17" s="8">
        <v>1001</v>
      </c>
      <c r="C17" s="8">
        <v>1000</v>
      </c>
      <c r="D17" s="8">
        <v>1000</v>
      </c>
      <c r="E17" s="8">
        <v>1001</v>
      </c>
      <c r="F17" s="8">
        <v>1000</v>
      </c>
      <c r="G17" s="8">
        <v>1000</v>
      </c>
    </row>
    <row r="18" spans="1:8" ht="18" customHeight="1" x14ac:dyDescent="0.3">
      <c r="A18" s="9" t="s">
        <v>4</v>
      </c>
      <c r="B18" s="10">
        <v>0.61582283473120059</v>
      </c>
      <c r="C18" s="10">
        <v>2.0000000000005527E-2</v>
      </c>
      <c r="D18" s="10">
        <v>2.0000000000005527E-2</v>
      </c>
      <c r="E18" s="10">
        <v>0.61582283473120059</v>
      </c>
      <c r="F18" s="10">
        <v>2.0000000000005527E-2</v>
      </c>
      <c r="G18" s="10">
        <v>2.0000000000005527E-2</v>
      </c>
    </row>
    <row r="19" spans="1:8" ht="18" customHeight="1" x14ac:dyDescent="0.3">
      <c r="A19" s="5"/>
      <c r="B19" s="8"/>
      <c r="C19" s="8"/>
      <c r="D19" s="8"/>
      <c r="E19" s="8"/>
      <c r="F19" s="8"/>
      <c r="G19" s="8"/>
    </row>
    <row r="20" spans="1:8" ht="18" customHeight="1" x14ac:dyDescent="0.3">
      <c r="D20" s="24"/>
      <c r="E20" s="38" t="s">
        <v>19</v>
      </c>
      <c r="F20" s="39"/>
      <c r="G20" s="39"/>
      <c r="H20" s="39"/>
    </row>
    <row r="21" spans="1:8" ht="18" customHeight="1" x14ac:dyDescent="0.3">
      <c r="D21" s="36" t="s">
        <v>18</v>
      </c>
      <c r="E21" s="36" t="s">
        <v>20</v>
      </c>
      <c r="F21" s="36" t="s">
        <v>21</v>
      </c>
      <c r="G21" s="40" t="s">
        <v>22</v>
      </c>
      <c r="H21" s="40" t="s">
        <v>23</v>
      </c>
    </row>
    <row r="22" spans="1:8" ht="18" customHeight="1" x14ac:dyDescent="0.3">
      <c r="D22" s="37"/>
      <c r="E22" s="37"/>
      <c r="F22" s="37"/>
      <c r="G22" s="41"/>
      <c r="H22" s="41"/>
    </row>
    <row r="23" spans="1:8" ht="18" customHeight="1" x14ac:dyDescent="0.3">
      <c r="D23" s="5">
        <v>1</v>
      </c>
      <c r="E23" s="21">
        <v>1705</v>
      </c>
      <c r="F23" s="21">
        <v>1673</v>
      </c>
      <c r="G23" s="21">
        <v>1670.48</v>
      </c>
      <c r="H23" s="21">
        <v>1599</v>
      </c>
    </row>
    <row r="24" spans="1:8" ht="18" customHeight="1" x14ac:dyDescent="0.3">
      <c r="D24" s="5">
        <v>2</v>
      </c>
      <c r="E24" s="21">
        <v>3053</v>
      </c>
      <c r="F24" s="21">
        <v>3052</v>
      </c>
      <c r="G24" s="21">
        <v>3050.92</v>
      </c>
      <c r="H24" s="21">
        <v>3050</v>
      </c>
    </row>
    <row r="25" spans="1:8" ht="18" customHeight="1" x14ac:dyDescent="0.3">
      <c r="D25" s="5">
        <v>3</v>
      </c>
      <c r="E25" s="21">
        <v>1827</v>
      </c>
      <c r="F25" s="21">
        <v>1705</v>
      </c>
      <c r="G25" s="21">
        <v>1760.07</v>
      </c>
      <c r="H25" s="21">
        <v>1700</v>
      </c>
    </row>
    <row r="26" spans="1:8" ht="18" customHeight="1" x14ac:dyDescent="0.3">
      <c r="D26" s="9">
        <v>4</v>
      </c>
      <c r="E26" s="25">
        <v>1973</v>
      </c>
      <c r="F26" s="25">
        <v>1964</v>
      </c>
      <c r="G26" s="25">
        <v>1986.35</v>
      </c>
      <c r="H26" s="25">
        <v>1946</v>
      </c>
    </row>
    <row r="27" spans="1:8" ht="18" customHeight="1" x14ac:dyDescent="0.3"/>
    <row r="28" spans="1:8" ht="18" customHeight="1" x14ac:dyDescent="0.3">
      <c r="D28" s="24"/>
      <c r="E28" s="38" t="s">
        <v>19</v>
      </c>
      <c r="F28" s="39"/>
      <c r="G28" s="39"/>
      <c r="H28" s="39"/>
    </row>
    <row r="29" spans="1:8" ht="18" customHeight="1" x14ac:dyDescent="0.3">
      <c r="D29" s="36" t="s">
        <v>28</v>
      </c>
      <c r="E29" s="36" t="s">
        <v>29</v>
      </c>
      <c r="F29" s="36" t="s">
        <v>30</v>
      </c>
      <c r="G29" s="40" t="s">
        <v>22</v>
      </c>
      <c r="H29" s="40" t="s">
        <v>23</v>
      </c>
    </row>
    <row r="30" spans="1:8" ht="18" customHeight="1" x14ac:dyDescent="0.3">
      <c r="D30" s="37"/>
      <c r="E30" s="37"/>
      <c r="F30" s="37"/>
      <c r="G30" s="41"/>
      <c r="H30" s="41"/>
    </row>
    <row r="31" spans="1:8" ht="18" customHeight="1" x14ac:dyDescent="0.3">
      <c r="D31" s="26" t="s">
        <v>39</v>
      </c>
      <c r="E31" s="21" t="s">
        <v>31</v>
      </c>
      <c r="F31" s="27">
        <v>8.3699999999999992</v>
      </c>
      <c r="G31" s="21"/>
      <c r="H31" s="21"/>
    </row>
    <row r="32" spans="1:8" ht="18" customHeight="1" x14ac:dyDescent="0.3">
      <c r="D32" s="26" t="s">
        <v>32</v>
      </c>
      <c r="E32" s="21" t="s">
        <v>31</v>
      </c>
      <c r="F32" s="27">
        <v>5.08</v>
      </c>
      <c r="G32" s="21"/>
      <c r="H32" s="21"/>
    </row>
    <row r="33" spans="4:12" ht="18" customHeight="1" x14ac:dyDescent="0.3">
      <c r="D33" s="26" t="s">
        <v>34</v>
      </c>
      <c r="E33" s="21" t="s">
        <v>33</v>
      </c>
      <c r="F33" s="27">
        <v>2.5230000000000001</v>
      </c>
      <c r="G33" s="27">
        <f>F33+F34</f>
        <v>5.08</v>
      </c>
      <c r="H33" s="21"/>
    </row>
    <row r="34" spans="4:12" ht="18" customHeight="1" x14ac:dyDescent="0.3">
      <c r="D34" s="26" t="s">
        <v>31</v>
      </c>
      <c r="E34" s="21" t="s">
        <v>33</v>
      </c>
      <c r="F34" s="27">
        <v>2.5569999999999999</v>
      </c>
      <c r="G34" s="21"/>
      <c r="H34" s="21"/>
    </row>
    <row r="35" spans="4:12" ht="18" customHeight="1" x14ac:dyDescent="0.3">
      <c r="D35" s="26" t="s">
        <v>35</v>
      </c>
      <c r="E35" s="21" t="s">
        <v>31</v>
      </c>
      <c r="F35" s="27">
        <v>3.2730000000000001</v>
      </c>
      <c r="G35" s="21"/>
      <c r="H35" s="21"/>
    </row>
    <row r="36" spans="4:12" ht="18" customHeight="1" x14ac:dyDescent="0.3">
      <c r="D36" s="26" t="s">
        <v>36</v>
      </c>
      <c r="E36" s="21" t="s">
        <v>31</v>
      </c>
      <c r="F36" s="27">
        <v>0</v>
      </c>
      <c r="G36" s="21"/>
      <c r="H36" s="21"/>
    </row>
    <row r="37" spans="4:12" ht="18" customHeight="1" x14ac:dyDescent="0.3">
      <c r="D37" s="29" t="s">
        <v>37</v>
      </c>
      <c r="E37" s="30" t="s">
        <v>31</v>
      </c>
      <c r="F37" s="35">
        <v>5.08</v>
      </c>
    </row>
    <row r="38" spans="4:12" ht="18" customHeight="1" x14ac:dyDescent="0.3">
      <c r="D38" s="31" t="s">
        <v>38</v>
      </c>
      <c r="E38" s="32" t="s">
        <v>31</v>
      </c>
      <c r="F38" s="32">
        <v>3.3050000000000002</v>
      </c>
    </row>
    <row r="39" spans="4:12" ht="18" customHeight="1" x14ac:dyDescent="0.3">
      <c r="H39" s="59" t="s">
        <v>54</v>
      </c>
      <c r="I39" s="61" t="s">
        <v>53</v>
      </c>
      <c r="J39" s="52"/>
      <c r="K39" s="52"/>
      <c r="L39" s="52"/>
    </row>
    <row r="40" spans="4:12" ht="18" customHeight="1" x14ac:dyDescent="0.3">
      <c r="D40" s="36" t="s">
        <v>28</v>
      </c>
      <c r="E40" s="36" t="s">
        <v>40</v>
      </c>
      <c r="F40" s="36" t="s">
        <v>41</v>
      </c>
      <c r="H40" s="60"/>
      <c r="I40" s="62"/>
      <c r="J40" s="63"/>
      <c r="K40" s="63"/>
      <c r="L40" s="63"/>
    </row>
    <row r="41" spans="4:12" ht="18" customHeight="1" x14ac:dyDescent="0.3">
      <c r="D41" s="37"/>
      <c r="E41" s="37"/>
      <c r="F41" s="37"/>
      <c r="H41" s="60"/>
      <c r="I41" s="13" t="s">
        <v>24</v>
      </c>
      <c r="J41" s="6" t="s">
        <v>25</v>
      </c>
      <c r="K41" s="6" t="s">
        <v>26</v>
      </c>
      <c r="L41" s="6" t="s">
        <v>27</v>
      </c>
    </row>
    <row r="42" spans="4:12" ht="18" customHeight="1" x14ac:dyDescent="0.3">
      <c r="D42" s="26" t="s">
        <v>39</v>
      </c>
      <c r="E42" s="21" t="s">
        <v>43</v>
      </c>
      <c r="F42" s="34">
        <v>132.5</v>
      </c>
      <c r="H42" s="53" t="s">
        <v>49</v>
      </c>
      <c r="I42" s="55">
        <v>2100</v>
      </c>
      <c r="J42" s="55">
        <v>450</v>
      </c>
      <c r="K42" s="56">
        <v>450</v>
      </c>
      <c r="L42" s="56">
        <v>1600</v>
      </c>
    </row>
    <row r="43" spans="4:12" ht="18" customHeight="1" x14ac:dyDescent="0.3">
      <c r="D43" s="26" t="s">
        <v>39</v>
      </c>
      <c r="E43" s="21" t="s">
        <v>45</v>
      </c>
      <c r="F43" s="34">
        <v>155.69999999999999</v>
      </c>
      <c r="H43" s="53" t="s">
        <v>50</v>
      </c>
      <c r="I43" s="55">
        <v>1850</v>
      </c>
      <c r="J43" s="55">
        <v>450</v>
      </c>
      <c r="K43" s="56">
        <v>450</v>
      </c>
      <c r="L43" s="56">
        <v>1600</v>
      </c>
    </row>
    <row r="44" spans="4:12" ht="18" customHeight="1" x14ac:dyDescent="0.3">
      <c r="D44" s="26" t="s">
        <v>39</v>
      </c>
      <c r="E44" s="21" t="s">
        <v>46</v>
      </c>
      <c r="F44" s="34">
        <v>161.30000000000001</v>
      </c>
      <c r="H44" s="53" t="s">
        <v>51</v>
      </c>
      <c r="I44" s="55">
        <v>1900</v>
      </c>
      <c r="J44" s="55">
        <v>450</v>
      </c>
      <c r="K44" s="56">
        <v>450</v>
      </c>
      <c r="L44" s="56">
        <v>1600</v>
      </c>
    </row>
    <row r="45" spans="4:12" ht="18" customHeight="1" x14ac:dyDescent="0.3">
      <c r="D45" s="26" t="s">
        <v>42</v>
      </c>
      <c r="E45" s="21" t="s">
        <v>44</v>
      </c>
      <c r="F45" s="34">
        <v>4.0999999999999996</v>
      </c>
      <c r="H45" s="54" t="s">
        <v>52</v>
      </c>
      <c r="I45" s="57">
        <v>1900</v>
      </c>
      <c r="J45" s="57">
        <v>450</v>
      </c>
      <c r="K45" s="58">
        <v>450</v>
      </c>
      <c r="L45" s="58">
        <v>1600</v>
      </c>
    </row>
    <row r="46" spans="4:12" ht="18" customHeight="1" x14ac:dyDescent="0.35">
      <c r="D46" s="33" t="s">
        <v>47</v>
      </c>
      <c r="E46" s="28" t="s">
        <v>48</v>
      </c>
      <c r="F46" s="28">
        <v>109.1</v>
      </c>
    </row>
    <row r="47" spans="4:12" ht="18" customHeight="1" x14ac:dyDescent="0.3"/>
    <row r="48" spans="4:12" ht="18" customHeight="1" x14ac:dyDescent="0.3"/>
    <row r="49" ht="18" customHeight="1" x14ac:dyDescent="0.3"/>
    <row r="50" ht="18" customHeight="1" x14ac:dyDescent="0.3"/>
  </sheetData>
  <mergeCells count="30">
    <mergeCell ref="I39:L40"/>
    <mergeCell ref="I1:Q1"/>
    <mergeCell ref="B1:D1"/>
    <mergeCell ref="B2:D2"/>
    <mergeCell ref="E1:G1"/>
    <mergeCell ref="E2:G2"/>
    <mergeCell ref="B11:D11"/>
    <mergeCell ref="E11:G11"/>
    <mergeCell ref="N2:Q2"/>
    <mergeCell ref="J7:M7"/>
    <mergeCell ref="N7:Q7"/>
    <mergeCell ref="J2:M2"/>
    <mergeCell ref="H21:H22"/>
    <mergeCell ref="E20:H20"/>
    <mergeCell ref="D21:D22"/>
    <mergeCell ref="B12:D12"/>
    <mergeCell ref="E12:G12"/>
    <mergeCell ref="E21:E22"/>
    <mergeCell ref="F21:F22"/>
    <mergeCell ref="G21:G22"/>
    <mergeCell ref="D40:D41"/>
    <mergeCell ref="E40:E41"/>
    <mergeCell ref="F40:F41"/>
    <mergeCell ref="E28:H28"/>
    <mergeCell ref="D29:D30"/>
    <mergeCell ref="E29:E30"/>
    <mergeCell ref="F29:F30"/>
    <mergeCell ref="G29:G30"/>
    <mergeCell ref="H29:H30"/>
    <mergeCell ref="H39:H4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Leite</dc:creator>
  <cp:lastModifiedBy>Claudia Leite</cp:lastModifiedBy>
  <dcterms:created xsi:type="dcterms:W3CDTF">2026-03-29T21:00:24Z</dcterms:created>
  <dcterms:modified xsi:type="dcterms:W3CDTF">2026-04-30T20:12:37Z</dcterms:modified>
</cp:coreProperties>
</file>